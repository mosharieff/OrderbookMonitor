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qua\OneDrive\Desktop\"/>
    </mc:Choice>
  </mc:AlternateContent>
  <xr:revisionPtr revIDLastSave="0" documentId="13_ncr:1_{D797F546-8386-44D3-982D-ED1D3AFE473F}" xr6:coauthVersionLast="47" xr6:coauthVersionMax="47" xr10:uidLastSave="{00000000-0000-0000-0000-000000000000}"/>
  <bookViews>
    <workbookView xWindow="-108" yWindow="-108" windowWidth="23256" windowHeight="12456" xr2:uid="{6BF05014-B231-400E-B566-B8607A8A3D51}"/>
  </bookViews>
  <sheets>
    <sheet name="Dashboard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7" i="1" l="1"/>
  <c r="J16" i="1"/>
  <c r="J11" i="1"/>
  <c r="J12" i="1"/>
  <c r="J18" i="1" l="1"/>
</calcChain>
</file>

<file path=xl/sharedStrings.xml><?xml version="1.0" encoding="utf-8"?>
<sst xmlns="http://schemas.openxmlformats.org/spreadsheetml/2006/main" count="27" uniqueCount="24">
  <si>
    <t>BID</t>
  </si>
  <si>
    <t>ASK</t>
  </si>
  <si>
    <t>Depth</t>
  </si>
  <si>
    <t>Ticker</t>
  </si>
  <si>
    <t>ETH-USD</t>
  </si>
  <si>
    <t>BTC-USD</t>
  </si>
  <si>
    <t>ADA-USD</t>
  </si>
  <si>
    <t>LTC-USD</t>
  </si>
  <si>
    <t>COINBASE PRO ORDERBOOK MONITOR</t>
  </si>
  <si>
    <t>Messages Per Second</t>
  </si>
  <si>
    <t>Bid</t>
  </si>
  <si>
    <t>Ask</t>
  </si>
  <si>
    <t>Total Bid Volume</t>
  </si>
  <si>
    <t>Total Ask Volume</t>
  </si>
  <si>
    <t>Top Of Book</t>
  </si>
  <si>
    <t>Spread</t>
  </si>
  <si>
    <t>Model</t>
  </si>
  <si>
    <t>Trade</t>
  </si>
  <si>
    <t>Probability</t>
  </si>
  <si>
    <t>LINK-USD</t>
  </si>
  <si>
    <t>ZEC-USD</t>
  </si>
  <si>
    <t>DOGE-USD</t>
  </si>
  <si>
    <t>SOL-USD</t>
  </si>
  <si>
    <t>Buy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</si>
</sst>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71DAFF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3" fillId="2" borderId="0" xfId="0" applyFont="1" applyFill="1"/>
    <xf numFmtId="0" fontId="4" fillId="3" borderId="1" xfId="0" applyFont="1" applyFill="1" applyBorder="1"/>
    <xf numFmtId="0" fontId="5" fillId="4" borderId="1" xfId="0" applyFont="1" applyFill="1" applyBorder="1" applyAlignment="1">
      <alignment horizontal="center"/>
    </xf>
    <xf numFmtId="0" fontId="5" fillId="2" borderId="0" xfId="0" applyFont="1" applyFill="1"/>
    <xf numFmtId="0" fontId="4" fillId="5" borderId="1" xfId="0" applyFont="1" applyFill="1" applyBorder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/>
    </xf>
    <xf numFmtId="10" fontId="6" fillId="6" borderId="1" xfId="1" applyNumberFormat="1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7" borderId="0" xfId="0" applyFont="1" applyFill="1" applyAlignment="1">
      <alignment horizontal="left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71D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Bid/Ask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684-435D-A7E6-5C906CAC4A7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684-435D-A7E6-5C906CAC4A70}"/>
              </c:ext>
            </c:extLst>
          </c:dPt>
          <c:cat>
            <c:strRef>
              <c:f>Dashboard!$I$11:$I$12</c:f>
              <c:strCache>
                <c:ptCount val="2"/>
                <c:pt idx="0">
                  <c:v>Total Bid Volume</c:v>
                </c:pt>
                <c:pt idx="1">
                  <c:v>Total Ask Volume</c:v>
                </c:pt>
              </c:strCache>
            </c:strRef>
          </c:cat>
          <c:val>
            <c:numRef>
              <c:f>Dashboard!$J$11:$J$12</c:f>
              <c:numCache>
                <c:formatCode>General</c:formatCode>
                <c:ptCount val="2"/>
                <c:pt idx="0">
                  <c:v>12059.82</c:v>
                </c:pt>
                <c:pt idx="1">
                  <c:v>1908.65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81-4112-AEB9-E3D9BF71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259080</xdr:colOff>
      <xdr:row>1</xdr:row>
      <xdr:rowOff>168910</xdr:rowOff>
    </xdr:from>
    <xdr:to>
      <xdr:col>20</xdr:col>
      <xdr:colOff>431800</xdr:colOff>
      <xdr:row>22</xdr:row>
      <xdr:rowOff>12700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29CF329-6EFF-63E5-8758-37D55976EF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7D274-480E-4CA9-8930-0EC97BB072FF}">
  <sheetPr codeName="Sheet1"/>
  <dimension ref="A1:J1048576"/>
  <sheetViews>
    <sheetView tabSelected="1" zoomScaleNormal="100" workbookViewId="0">
      <selection activeCell="I28" sqref="I28"/>
    </sheetView>
  </sheetViews>
  <sheetFormatPr defaultColWidth="9.109375" defaultRowHeight="14.4" x14ac:dyDescent="0.3"/>
  <cols>
    <col min="1" max="8" width="9.109375" style="1"/>
    <col min="9" max="9" width="21.109375" style="1" customWidth="1"/>
    <col min="10" max="10" width="12.5546875" style="1" customWidth="1"/>
    <col min="11" max="11" width="9.109375" style="1"/>
    <col min="12" max="12" width="9.109375" style="1" customWidth="1"/>
    <col min="13" max="16384" width="9.109375" style="1"/>
  </cols>
  <sheetData>
    <row r="1" spans="1:10" s="13" customFormat="1" ht="26.4" customHeight="1" x14ac:dyDescent="0.5">
      <c r="A1" s="13" t="s">
        <v>8</v>
      </c>
    </row>
    <row r="2" spans="1:10" x14ac:dyDescent="0.3">
      <c r="A2" s="2"/>
    </row>
    <row r="3" spans="1:10" ht="15.6" x14ac:dyDescent="0.3">
      <c r="B3" s="14" t="s">
        <v>0</v>
      </c>
      <c r="C3" s="14"/>
      <c r="E3" s="15" t="s">
        <v>1</v>
      </c>
      <c r="F3" s="16"/>
      <c r="I3" s="3" t="s">
        <v>2</v>
      </c>
      <c r="J3" s="4">
        <v>20</v>
      </c>
    </row>
    <row r="4" spans="1:10" ht="15.6" x14ac:dyDescent="0.3">
      <c r="B4" s="1">
        <v>18.812000000000001</v>
      </c>
      <c r="C4" s="1">
        <v>143.9</v>
      </c>
      <c r="E4" s="1">
        <v>18.817</v>
      </c>
      <c r="F4" s="1">
        <v>15.48</v>
      </c>
      <c r="I4" s="3" t="s">
        <v>3</v>
      </c>
      <c r="J4" s="4" t="s">
        <v>19</v>
      </c>
    </row>
    <row r="5" spans="1:10" ht="15.6" x14ac:dyDescent="0.3">
      <c r="B5" s="1">
        <v>18.809999999999999</v>
      </c>
      <c r="C5" s="1">
        <v>36.4</v>
      </c>
      <c r="E5" s="1">
        <v>18.818000000000001</v>
      </c>
      <c r="F5" s="1">
        <v>24.41</v>
      </c>
      <c r="I5" s="5"/>
      <c r="J5" s="5"/>
    </row>
    <row r="6" spans="1:10" ht="15.6" x14ac:dyDescent="0.3">
      <c r="B6" s="1">
        <v>18.809000000000001</v>
      </c>
      <c r="C6" s="1">
        <v>179.36</v>
      </c>
      <c r="E6" s="1">
        <v>18.818999999999999</v>
      </c>
      <c r="F6" s="1">
        <v>51.94</v>
      </c>
      <c r="I6" s="5"/>
      <c r="J6" s="5"/>
    </row>
    <row r="7" spans="1:10" ht="15.6" x14ac:dyDescent="0.3">
      <c r="B7" s="1">
        <v>18.808</v>
      </c>
      <c r="C7" s="1">
        <v>2012.95</v>
      </c>
      <c r="E7" s="1">
        <v>18.82</v>
      </c>
      <c r="F7" s="1">
        <v>44.48</v>
      </c>
      <c r="I7" s="12" t="s">
        <v>9</v>
      </c>
      <c r="J7" s="12"/>
    </row>
    <row r="8" spans="1:10" ht="15.6" x14ac:dyDescent="0.3">
      <c r="B8" s="1">
        <v>18.806999999999999</v>
      </c>
      <c r="C8" s="1">
        <v>339.11</v>
      </c>
      <c r="E8" s="1">
        <v>18.821000000000002</v>
      </c>
      <c r="F8" s="1">
        <v>20</v>
      </c>
      <c r="I8" s="6" t="s">
        <v>10</v>
      </c>
      <c r="J8" s="7">
        <v>1</v>
      </c>
    </row>
    <row r="9" spans="1:10" ht="15.6" x14ac:dyDescent="0.3">
      <c r="B9" s="1">
        <v>18.806000000000001</v>
      </c>
      <c r="C9" s="1">
        <v>49.5</v>
      </c>
      <c r="E9" s="1">
        <v>18.821999999999999</v>
      </c>
      <c r="F9" s="1">
        <v>15.46</v>
      </c>
      <c r="I9" s="6" t="s">
        <v>11</v>
      </c>
      <c r="J9" s="7">
        <v>1</v>
      </c>
    </row>
    <row r="10" spans="1:10" ht="15.6" x14ac:dyDescent="0.3">
      <c r="B10" s="1">
        <v>18.805</v>
      </c>
      <c r="C10" s="1">
        <v>372.06</v>
      </c>
      <c r="E10" s="1">
        <v>18.823</v>
      </c>
      <c r="F10" s="1">
        <v>265.64</v>
      </c>
      <c r="I10" s="5"/>
      <c r="J10" s="5"/>
    </row>
    <row r="11" spans="1:10" ht="15.6" x14ac:dyDescent="0.3">
      <c r="B11" s="1">
        <v>18.803999999999998</v>
      </c>
      <c r="C11" s="1">
        <v>53.68</v>
      </c>
      <c r="E11" s="1">
        <v>18.824000000000002</v>
      </c>
      <c r="F11" s="1">
        <v>26.26</v>
      </c>
      <c r="I11" s="6" t="s">
        <v>12</v>
      </c>
      <c r="J11" s="7">
        <f>SUM(C4:C1048576)</f>
        <v>12059.82</v>
      </c>
    </row>
    <row r="12" spans="1:10" ht="15.6" x14ac:dyDescent="0.3">
      <c r="B12" s="1">
        <v>18.803000000000001</v>
      </c>
      <c r="C12" s="1">
        <v>3218.51</v>
      </c>
      <c r="E12" s="1">
        <v>18.824999999999999</v>
      </c>
      <c r="F12" s="1">
        <v>46.27</v>
      </c>
      <c r="I12" s="6" t="s">
        <v>13</v>
      </c>
      <c r="J12" s="7">
        <f>SUM(F4:F1048576)</f>
        <v>1908.65</v>
      </c>
    </row>
    <row r="13" spans="1:10" x14ac:dyDescent="0.3">
      <c r="B13" s="1">
        <v>18.802</v>
      </c>
      <c r="C13" s="1">
        <v>409.23</v>
      </c>
      <c r="E13" s="1">
        <v>18.826000000000001</v>
      </c>
      <c r="F13" s="1">
        <v>87.71</v>
      </c>
    </row>
    <row r="14" spans="1:10" x14ac:dyDescent="0.3">
      <c r="B14" s="1">
        <v>18.800999999999998</v>
      </c>
      <c r="C14" s="1">
        <v>951.33</v>
      </c>
      <c r="E14" s="1">
        <v>18.827000000000002</v>
      </c>
      <c r="F14" s="1">
        <v>309.42</v>
      </c>
    </row>
    <row r="15" spans="1:10" ht="15.6" x14ac:dyDescent="0.3">
      <c r="B15" s="1">
        <v>18.8</v>
      </c>
      <c r="C15" s="1">
        <v>51.68</v>
      </c>
      <c r="E15" s="1">
        <v>18.827999999999999</v>
      </c>
      <c r="F15" s="1">
        <v>190.99</v>
      </c>
      <c r="I15" s="12" t="s">
        <v>14</v>
      </c>
      <c r="J15" s="12"/>
    </row>
    <row r="16" spans="1:10" ht="15.6" x14ac:dyDescent="0.3">
      <c r="B16" s="1">
        <v>18.798999999999999</v>
      </c>
      <c r="C16" s="1">
        <v>47.62</v>
      </c>
      <c r="E16" s="1">
        <v>18.829000000000001</v>
      </c>
      <c r="F16" s="1">
        <v>127.3</v>
      </c>
      <c r="I16" s="6" t="s">
        <v>10</v>
      </c>
      <c r="J16" s="7">
        <f>B4</f>
        <v>18.812000000000001</v>
      </c>
    </row>
    <row r="17" spans="2:10" ht="15.6" x14ac:dyDescent="0.3">
      <c r="B17" s="1">
        <v>18.797999999999998</v>
      </c>
      <c r="C17" s="1">
        <v>137.27000000000001</v>
      </c>
      <c r="E17" s="1">
        <v>18.829999999999998</v>
      </c>
      <c r="F17" s="1">
        <v>328.7</v>
      </c>
      <c r="I17" s="6" t="s">
        <v>11</v>
      </c>
      <c r="J17" s="7">
        <f>E4</f>
        <v>18.817</v>
      </c>
    </row>
    <row r="18" spans="2:10" ht="15.6" x14ac:dyDescent="0.3">
      <c r="B18" s="1">
        <v>18.797000000000001</v>
      </c>
      <c r="C18" s="1">
        <v>21.55</v>
      </c>
      <c r="E18" s="1">
        <v>18.831</v>
      </c>
      <c r="F18" s="1">
        <v>9.69</v>
      </c>
      <c r="I18" s="6" t="s">
        <v>15</v>
      </c>
      <c r="J18" s="7">
        <f>J17-J16</f>
        <v>4.9999999999990052E-3</v>
      </c>
    </row>
    <row r="19" spans="2:10" x14ac:dyDescent="0.3">
      <c r="B19" s="1">
        <v>18.795999999999999</v>
      </c>
      <c r="C19" s="1">
        <v>46.64</v>
      </c>
      <c r="E19" s="1">
        <v>18.832000000000001</v>
      </c>
      <c r="F19" s="1">
        <v>54.73</v>
      </c>
    </row>
    <row r="20" spans="2:10" ht="15.6" x14ac:dyDescent="0.3">
      <c r="B20" s="1">
        <v>18.795000000000002</v>
      </c>
      <c r="C20" s="1">
        <v>10.029999999999999</v>
      </c>
      <c r="E20" s="1">
        <v>18.832999999999998</v>
      </c>
      <c r="F20" s="1">
        <v>22.39</v>
      </c>
      <c r="I20" s="10" t="s">
        <v>16</v>
      </c>
      <c r="J20" s="11"/>
    </row>
    <row r="21" spans="2:10" ht="15.6" x14ac:dyDescent="0.3">
      <c r="B21" s="1">
        <v>18.794</v>
      </c>
      <c r="C21" s="1">
        <v>3923.64</v>
      </c>
      <c r="E21" s="1">
        <v>18.834</v>
      </c>
      <c r="F21" s="1">
        <v>34.26</v>
      </c>
      <c r="I21" s="6" t="s">
        <v>17</v>
      </c>
      <c r="J21" s="8" t="s">
        <v>23</v>
      </c>
    </row>
    <row r="22" spans="2:10" ht="15.6" x14ac:dyDescent="0.3">
      <c r="B22" s="1">
        <v>18.792999999999999</v>
      </c>
      <c r="C22" s="1">
        <v>45.55</v>
      </c>
      <c r="E22" s="1">
        <v>18.835000000000001</v>
      </c>
      <c r="F22" s="1">
        <v>114.56</v>
      </c>
      <c r="I22" s="6" t="s">
        <v>18</v>
      </c>
      <c r="J22" s="9">
        <v>0.6443203682097125</v>
      </c>
    </row>
    <row r="23" spans="2:10" x14ac:dyDescent="0.3">
      <c r="B23" s="1">
        <v>18.792000000000002</v>
      </c>
      <c r="C23" s="1">
        <v>9.81</v>
      </c>
      <c r="E23" s="1">
        <v>18.835999999999999</v>
      </c>
      <c r="F23" s="1">
        <v>118.96</v>
      </c>
    </row>
    <row r="1048569" spans="1:1" x14ac:dyDescent="0.3">
      <c r="A1048569" s="1" t="s">
        <v>5</v>
      </c>
    </row>
    <row r="1048570" spans="1:1" x14ac:dyDescent="0.3">
      <c r="A1048570" s="1" t="s">
        <v>4</v>
      </c>
    </row>
    <row r="1048571" spans="1:1" x14ac:dyDescent="0.3">
      <c r="A1048571" s="1" t="s">
        <v>6</v>
      </c>
    </row>
    <row r="1048572" spans="1:1" x14ac:dyDescent="0.3">
      <c r="A1048572" s="1" t="s">
        <v>7</v>
      </c>
    </row>
    <row r="1048573" spans="1:1" x14ac:dyDescent="0.3">
      <c r="A1048573" s="1" t="s">
        <v>19</v>
      </c>
    </row>
    <row r="1048574" spans="1:1" x14ac:dyDescent="0.3">
      <c r="A1048574" s="1" t="s">
        <v>20</v>
      </c>
    </row>
    <row r="1048575" spans="1:1" x14ac:dyDescent="0.3">
      <c r="A1048575" s="1" t="s">
        <v>21</v>
      </c>
    </row>
    <row r="1048576" spans="1:1" x14ac:dyDescent="0.3">
      <c r="A1048576" s="1" t="s">
        <v>22</v>
      </c>
    </row>
  </sheetData>
  <mergeCells count="6">
    <mergeCell ref="I20:J20"/>
    <mergeCell ref="I15:J15"/>
    <mergeCell ref="A1:XFD1"/>
    <mergeCell ref="B3:C3"/>
    <mergeCell ref="E3:F3"/>
    <mergeCell ref="I7:J7"/>
  </mergeCells>
  <conditionalFormatting sqref="C4: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{9D0CC3E7-2DE2-44A8-8ECF-77B5A18A00C9}</x14:id>
        </ext>
      </extLst>
    </cfRule>
  </conditionalFormatting>
  <conditionalFormatting sqref="F4:F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{B0F45BEB-6430-4B45-9BE9-0D70E051EA41}</x14:id>
        </ext>
      </extLst>
    </cfRule>
  </conditionalFormatting>
  <conditionalFormatting sqref="B4:B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J4" xr:uid="{969B9485-D322-4D5C-8432-35680D1A335A}">
      <formula1>$A$1048569:$A$1048576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0CC3E7-2DE2-44A8-8ECF-77B5A18A00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C4:C1048576</xm:sqref>
        </x14:conditionalFormatting>
        <x14:conditionalFormatting xmlns:xm="http://schemas.microsoft.com/office/excel/2006/main">
          <x14:cfRule type="dataBar" id="{B0F45BEB-6430-4B45-9BE9-0D70E051EA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F4:F1048576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 I Sharieff</dc:creator>
  <cp:lastModifiedBy>Mohammed I Sharieff</cp:lastModifiedBy>
  <dcterms:created xsi:type="dcterms:W3CDTF">2024-02-12T00:20:10Z</dcterms:created>
  <dcterms:modified xsi:type="dcterms:W3CDTF">2024-02-28T20:20:00Z</dcterms:modified>
</cp:coreProperties>
</file>